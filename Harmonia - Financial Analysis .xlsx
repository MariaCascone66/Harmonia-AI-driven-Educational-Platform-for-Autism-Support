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nancial Analysis for Esistere" sheetId="1" r:id="rId4"/>
  </sheets>
  <definedNames>
    <definedName hidden="1" localSheetId="0" name="Z_820251E8_4577_4AA4_A4DA_88A17B84D821_.wvu.FilterData">'Financial Analysis for Esistere'!$F$25:$F$31</definedName>
  </definedNames>
  <calcPr/>
  <customWorkbookViews>
    <customWorkbookView activeSheetId="0" maximized="1" windowHeight="0" windowWidth="0" guid="{820251E8-4577-4AA4-A4DA-88A17B84D821}" name="Filt"/>
  </customWorkbookViews>
  <extLst>
    <ext uri="GoogleSheetsCustomDataVersion2">
      <go:sheetsCustomData xmlns:go="http://customooxmlschemas.google.com/" r:id="rId5" roundtripDataChecksum="AxW5ukZNXgMR330XwgNo9VAONxWVQOd1X96ScVgwCDs="/>
    </ext>
  </extLst>
</workbook>
</file>

<file path=xl/sharedStrings.xml><?xml version="1.0" encoding="utf-8"?>
<sst xmlns="http://schemas.openxmlformats.org/spreadsheetml/2006/main" count="104" uniqueCount="62">
  <si>
    <t>Harmonia - Financial Analysis</t>
  </si>
  <si>
    <t>Created by: Maria Cascone</t>
  </si>
  <si>
    <t>Date: 10/11/2024</t>
  </si>
  <si>
    <t>Discount rate</t>
  </si>
  <si>
    <t>Assume the project is completed in Year 0</t>
  </si>
  <si>
    <t>Year</t>
  </si>
  <si>
    <t>Total</t>
  </si>
  <si>
    <t>Costs</t>
  </si>
  <si>
    <t>Discount factor</t>
  </si>
  <si>
    <t>Discounted costs</t>
  </si>
  <si>
    <t>Benefits</t>
  </si>
  <si>
    <t>Discounted benefits</t>
  </si>
  <si>
    <t>Discounted benefits - costs</t>
  </si>
  <si>
    <t>NPV</t>
  </si>
  <si>
    <t>Cumulative benefits - costs</t>
  </si>
  <si>
    <t>ROI</t>
  </si>
  <si>
    <t xml:space="preserve">              Payback in Year 1</t>
  </si>
  <si>
    <t>Assumptions</t>
  </si>
  <si>
    <t>Milestone 1</t>
  </si>
  <si>
    <t>Roles</t>
  </si>
  <si>
    <t>Resources</t>
  </si>
  <si>
    <t>Cost/Hour</t>
  </si>
  <si>
    <t>Hour</t>
  </si>
  <si>
    <t>Total Costs</t>
  </si>
  <si>
    <t>Project Manager</t>
  </si>
  <si>
    <t>Responsabile Sviluppo</t>
  </si>
  <si>
    <t>Analista di Processo</t>
  </si>
  <si>
    <t xml:space="preserve">Analista Software </t>
  </si>
  <si>
    <t>Sviluppatore FullStack</t>
  </si>
  <si>
    <t>Esperto AI</t>
  </si>
  <si>
    <t>Designer UI/UX</t>
  </si>
  <si>
    <t>Psicologi e Ricercatori</t>
  </si>
  <si>
    <t>Sistemista/BDA</t>
  </si>
  <si>
    <t>Total Costs Milestone 1</t>
  </si>
  <si>
    <t>Milestone 2</t>
  </si>
  <si>
    <t>Total Costs Milestone 2</t>
  </si>
  <si>
    <t>Total Project Costs applied in year 0</t>
  </si>
  <si>
    <t>Anno 1</t>
  </si>
  <si>
    <t>Ruolo</t>
  </si>
  <si>
    <t>Numero Risorse</t>
  </si>
  <si>
    <t>Costo/ora</t>
  </si>
  <si>
    <t>Ore totali</t>
  </si>
  <si>
    <t>Formatore Software</t>
  </si>
  <si>
    <t>Sviluppatori</t>
  </si>
  <si>
    <t>Psicologi</t>
  </si>
  <si>
    <t>Consulente del Cambiamento Organizzativo</t>
  </si>
  <si>
    <t>Assistente Help Desk e Supporto Tecnico</t>
  </si>
  <si>
    <t>Total Project Costs (applied in year 1)</t>
  </si>
  <si>
    <t>Anno 2</t>
  </si>
  <si>
    <t>30€</t>
  </si>
  <si>
    <t>20€</t>
  </si>
  <si>
    <t>Sviluppatore (Manutenzione)</t>
  </si>
  <si>
    <t>Total Project Costs (applied in year 2)</t>
  </si>
  <si>
    <t>Anno 3</t>
  </si>
  <si>
    <t>Total Project Costs (applied in year 3)</t>
  </si>
  <si>
    <t>Anno</t>
  </si>
  <si>
    <t>Pacchetti venduti</t>
  </si>
  <si>
    <t>Costo per pacchetto</t>
  </si>
  <si>
    <t>Totale Vendite</t>
  </si>
  <si>
    <t>Fee ai Rivenditori (10%)</t>
  </si>
  <si>
    <t>Incentivi alle Vendite (5%)</t>
  </si>
  <si>
    <t>Guadagno Effettivo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</si>
</sst>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&quot; &quot;* #,##0&quot; &quot;;&quot; &quot;* \(#,##0\);&quot; &quot;* &quot;-&quot;??&quot; &quot;"/>
    <numFmt numFmtId="165" formatCode="#,##0&quot; &quot;;\(#,##0\)"/>
    <numFmt numFmtId="166" formatCode="[$€-2]\ #,##0"/>
    <numFmt numFmtId="167" formatCode="#,##0&quot;€&quot;"/>
    <numFmt numFmtId="168" formatCode="[$€-2]\ #,##0.00"/>
    <numFmt numFmtId="169" formatCode="#,##0\ &quot;€&quot;;[Red]\-#,##0\ &quot;€&quot;"/>
  </numFmts>
  <fonts count="17">
    <font>
      <sz val="10.0"/>
      <color rgb="FF000000"/>
      <name val="Arial"/>
      <scheme val="minor"/>
    </font>
    <font>
      <b/>
      <sz val="18.0"/>
      <color rgb="FF000000"/>
      <name val="Arial"/>
    </font>
    <font/>
    <font>
      <sz val="10.0"/>
      <color rgb="FF000000"/>
      <name val="Arial"/>
    </font>
    <font>
      <b/>
      <sz val="12.0"/>
      <color rgb="FF000000"/>
      <name val="Arial"/>
    </font>
    <font>
      <sz val="12.0"/>
      <color rgb="FF000000"/>
      <name val="New york"/>
    </font>
    <font>
      <b/>
      <sz val="10.0"/>
      <color rgb="FF000000"/>
      <name val="Arial"/>
    </font>
    <font>
      <b/>
      <sz val="10.0"/>
      <color rgb="FF00B050"/>
      <name val="Arial"/>
    </font>
    <font>
      <u/>
      <sz val="10.0"/>
      <color rgb="FF000000"/>
      <name val="Arial"/>
    </font>
    <font>
      <sz val="10.0"/>
      <color theme="1"/>
      <name val="Arial"/>
    </font>
    <font>
      <sz val="11.0"/>
      <color rgb="FF000000"/>
      <name val="Georgia"/>
    </font>
    <font>
      <sz val="10.0"/>
      <color rgb="FF434343"/>
      <name val="Arial"/>
    </font>
    <font>
      <b/>
      <sz val="11.0"/>
      <color rgb="FF000000"/>
      <name val="Georgia"/>
    </font>
    <font>
      <u/>
      <sz val="10.0"/>
      <color rgb="FF000000"/>
      <name val="Arial"/>
    </font>
    <font>
      <b/>
      <sz val="9.0"/>
      <color rgb="FF000000"/>
      <name val="Georgia"/>
    </font>
    <font>
      <b/>
      <color theme="1"/>
      <name val="Arial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4">
    <border/>
    <border>
      <left style="thin">
        <color rgb="FFAAAAAA"/>
      </left>
      <top style="thin">
        <color rgb="FFAAAAAA"/>
      </top>
      <bottom style="thin">
        <color rgb="FF999999"/>
      </bottom>
    </border>
    <border>
      <top style="thin">
        <color rgb="FFAAAAAA"/>
      </top>
      <bottom style="thin">
        <color rgb="FF999999"/>
      </bottom>
    </border>
    <border>
      <right style="thin">
        <color rgb="FFAAAAAA"/>
      </right>
      <top style="thin">
        <color rgb="FFAAAAAA"/>
      </top>
      <bottom style="thin">
        <color rgb="FF999999"/>
      </bottom>
    </border>
    <border>
      <left style="thin">
        <color rgb="FFAAAAAA"/>
      </left>
      <right style="thin">
        <color rgb="FF999999"/>
      </right>
      <top style="thin">
        <color rgb="FF999999"/>
      </top>
      <bottom style="thin">
        <color rgb="FF999999"/>
      </bottom>
    </border>
    <border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999999"/>
      </left>
      <right style="thin">
        <color rgb="FFAAAAAA"/>
      </right>
      <top style="thin">
        <color rgb="FF999999"/>
      </top>
      <bottom style="thin">
        <color rgb="FF999999"/>
      </bottom>
    </border>
    <border>
      <left style="thin">
        <color rgb="FFAAAAAA"/>
      </left>
      <top style="thin">
        <color rgb="FF999999"/>
      </top>
      <bottom style="thin">
        <color rgb="FF999999"/>
      </bottom>
    </border>
    <border>
      <top style="thin">
        <color rgb="FF999999"/>
      </top>
      <bottom style="thin">
        <color rgb="FF999999"/>
      </bottom>
    </border>
    <border>
      <right style="thin">
        <color rgb="FFAAAAAA"/>
      </right>
      <top style="thin">
        <color rgb="FF999999"/>
      </top>
      <bottom style="thin">
        <color rgb="FF999999"/>
      </bottom>
    </border>
    <border>
      <left/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AAAAAA"/>
      </left>
      <right style="thin">
        <color rgb="FF999999"/>
      </right>
      <top style="thin">
        <color rgb="FF999999"/>
      </top>
    </border>
    <border>
      <left style="thin">
        <color rgb="FF999999"/>
      </left>
      <top style="thin">
        <color rgb="FF999999"/>
      </top>
      <bottom style="thin">
        <color rgb="FF999999"/>
      </bottom>
    </border>
    <border>
      <right style="thin">
        <color rgb="FF999999"/>
      </right>
    </border>
    <border>
      <left style="thin">
        <color rgb="FFAAAAAA"/>
      </left>
      <right style="thin">
        <color rgb="FF999999"/>
      </right>
      <bottom style="thin">
        <color rgb="FF999999"/>
      </bottom>
    </border>
    <border>
      <left style="thin">
        <color rgb="FF999999"/>
      </left>
      <right style="thin">
        <color rgb="FF999999"/>
      </right>
      <top style="thin">
        <color rgb="FF999999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999999"/>
      </left>
      <right style="thin">
        <color rgb="FF999999"/>
      </right>
      <bottom style="thin">
        <color rgb="FF999999"/>
      </bottom>
    </border>
    <border>
      <right style="thin">
        <color rgb="FF999999"/>
      </right>
      <top style="thin">
        <color rgb="FF999999"/>
      </top>
    </border>
    <border>
      <right style="thin">
        <color rgb="FF999999"/>
      </right>
      <bottom style="thin">
        <color rgb="FF999999"/>
      </bottom>
    </border>
    <border>
      <left style="thin">
        <color rgb="FFAAAAAA"/>
      </left>
      <right style="thin">
        <color rgb="FF999999"/>
      </right>
    </border>
    <border>
      <left style="thin">
        <color rgb="FF999999"/>
      </left>
      <right style="thin">
        <color rgb="FF999999"/>
      </right>
    </border>
    <border>
      <left style="thin">
        <color rgb="FF999999"/>
      </left>
      <right style="thin">
        <color rgb="FFAAAAAA"/>
      </right>
      <top style="thin">
        <color rgb="FF999999"/>
      </top>
    </border>
  </borders>
  <cellStyleXfs count="1">
    <xf borderId="0" fillId="0" fontId="0" numFmtId="0" applyAlignment="1" applyFont="1"/>
  </cellStyleXfs>
  <cellXfs count="125">
    <xf borderId="0" fillId="0" fontId="0" numFmtId="0" xfId="0" applyAlignment="1" applyFont="1">
      <alignment readingOrder="0" shrinkToFit="0" vertical="bottom" wrapText="0"/>
    </xf>
    <xf borderId="1" fillId="0" fontId="1" numFmtId="49" xfId="0" applyAlignment="1" applyBorder="1" applyFont="1" applyNumberFormat="1">
      <alignment horizontal="center"/>
    </xf>
    <xf borderId="2" fillId="0" fontId="2" numFmtId="0" xfId="0" applyBorder="1" applyFont="1"/>
    <xf borderId="3" fillId="0" fontId="2" numFmtId="0" xfId="0" applyBorder="1" applyFont="1"/>
    <xf borderId="0" fillId="0" fontId="3" numFmtId="0" xfId="0" applyFont="1"/>
    <xf borderId="4" fillId="0" fontId="4" numFmtId="49" xfId="0" applyAlignment="1" applyBorder="1" applyFont="1" applyNumberFormat="1">
      <alignment horizontal="left"/>
    </xf>
    <xf borderId="5" fillId="0" fontId="4" numFmtId="0" xfId="0" applyAlignment="1" applyBorder="1" applyFont="1">
      <alignment horizontal="left"/>
    </xf>
    <xf borderId="6" fillId="0" fontId="4" numFmtId="0" xfId="0" applyAlignment="1" applyBorder="1" applyFont="1">
      <alignment horizontal="left"/>
    </xf>
    <xf borderId="6" fillId="0" fontId="4" numFmtId="49" xfId="0" applyAlignment="1" applyBorder="1" applyFont="1" applyNumberFormat="1">
      <alignment horizontal="left"/>
    </xf>
    <xf borderId="6" fillId="0" fontId="1" numFmtId="0" xfId="0" applyAlignment="1" applyBorder="1" applyFont="1">
      <alignment horizontal="center"/>
    </xf>
    <xf borderId="7" fillId="0" fontId="1" numFmtId="0" xfId="0" applyAlignment="1" applyBorder="1" applyFont="1">
      <alignment horizontal="center"/>
    </xf>
    <xf borderId="8" fillId="2" fontId="5" numFmtId="0" xfId="0" applyAlignment="1" applyBorder="1" applyFill="1" applyFont="1">
      <alignment horizontal="left" shrinkToFit="0" wrapText="1"/>
    </xf>
    <xf borderId="9" fillId="0" fontId="2" numFmtId="0" xfId="0" applyBorder="1" applyFont="1"/>
    <xf borderId="10" fillId="0" fontId="2" numFmtId="0" xfId="0" applyBorder="1" applyFont="1"/>
    <xf borderId="4" fillId="2" fontId="3" numFmtId="0" xfId="0" applyAlignment="1" applyBorder="1" applyFont="1">
      <alignment shrinkToFit="0" wrapText="1"/>
    </xf>
    <xf borderId="11" fillId="2" fontId="3" numFmtId="0" xfId="0" applyAlignment="1" applyBorder="1" applyFont="1">
      <alignment shrinkToFit="0" wrapText="1"/>
    </xf>
    <xf borderId="6" fillId="2" fontId="3" numFmtId="0" xfId="0" applyAlignment="1" applyBorder="1" applyFont="1">
      <alignment shrinkToFit="0" wrapText="1"/>
    </xf>
    <xf borderId="7" fillId="2" fontId="3" numFmtId="0" xfId="0" applyAlignment="1" applyBorder="1" applyFont="1">
      <alignment shrinkToFit="0" wrapText="1"/>
    </xf>
    <xf borderId="4" fillId="0" fontId="6" numFmtId="49" xfId="0" applyBorder="1" applyFont="1" applyNumberFormat="1"/>
    <xf borderId="5" fillId="0" fontId="7" numFmtId="10" xfId="0" applyBorder="1" applyFont="1" applyNumberFormat="1"/>
    <xf borderId="6" fillId="0" fontId="7" numFmtId="10" xfId="0" applyBorder="1" applyFont="1" applyNumberFormat="1"/>
    <xf borderId="6" fillId="0" fontId="3" numFmtId="0" xfId="0" applyBorder="1" applyFont="1"/>
    <xf borderId="7" fillId="0" fontId="3" numFmtId="0" xfId="0" applyBorder="1" applyFont="1"/>
    <xf borderId="4" fillId="0" fontId="6" numFmtId="0" xfId="0" applyBorder="1" applyFont="1"/>
    <xf borderId="5" fillId="0" fontId="6" numFmtId="9" xfId="0" applyBorder="1" applyFont="1" applyNumberFormat="1"/>
    <xf borderId="6" fillId="0" fontId="6" numFmtId="9" xfId="0" applyBorder="1" applyFont="1" applyNumberFormat="1"/>
    <xf borderId="4" fillId="0" fontId="3" numFmtId="49" xfId="0" applyBorder="1" applyFont="1" applyNumberFormat="1"/>
    <xf borderId="5" fillId="0" fontId="3" numFmtId="0" xfId="0" applyBorder="1" applyFont="1"/>
    <xf borderId="6" fillId="0" fontId="6" numFmtId="49" xfId="0" applyBorder="1" applyFont="1" applyNumberFormat="1"/>
    <xf borderId="6" fillId="0" fontId="6" numFmtId="0" xfId="0" applyBorder="1" applyFont="1"/>
    <xf borderId="4" fillId="0" fontId="3" numFmtId="0" xfId="0" applyBorder="1" applyFont="1"/>
    <xf borderId="5" fillId="0" fontId="7" numFmtId="0" xfId="0" applyBorder="1" applyFont="1"/>
    <xf borderId="6" fillId="0" fontId="7" numFmtId="0" xfId="0" applyBorder="1" applyFont="1"/>
    <xf borderId="5" fillId="0" fontId="7" numFmtId="3" xfId="0" applyBorder="1" applyFont="1" applyNumberFormat="1"/>
    <xf borderId="6" fillId="0" fontId="7" numFmtId="3" xfId="0" applyAlignment="1" applyBorder="1" applyFont="1" applyNumberFormat="1">
      <alignment readingOrder="0"/>
    </xf>
    <xf borderId="6" fillId="0" fontId="7" numFmtId="4" xfId="0" applyAlignment="1" applyBorder="1" applyFont="1" applyNumberFormat="1">
      <alignment readingOrder="0"/>
    </xf>
    <xf borderId="5" fillId="0" fontId="3" numFmtId="2" xfId="0" applyBorder="1" applyFont="1" applyNumberFormat="1"/>
    <xf borderId="6" fillId="0" fontId="3" numFmtId="2" xfId="0" applyBorder="1" applyFont="1" applyNumberFormat="1"/>
    <xf borderId="5" fillId="0" fontId="6" numFmtId="164" xfId="0" applyBorder="1" applyFont="1" applyNumberFormat="1"/>
    <xf borderId="6" fillId="0" fontId="6" numFmtId="164" xfId="0" applyBorder="1" applyFont="1" applyNumberFormat="1"/>
    <xf borderId="5" fillId="0" fontId="7" numFmtId="165" xfId="0" applyBorder="1" applyFont="1" applyNumberFormat="1"/>
    <xf borderId="6" fillId="0" fontId="7" numFmtId="165" xfId="0" applyBorder="1" applyFont="1" applyNumberFormat="1"/>
    <xf borderId="6" fillId="0" fontId="7" numFmtId="165" xfId="0" applyAlignment="1" applyBorder="1" applyFont="1" applyNumberFormat="1">
      <alignment readingOrder="0"/>
    </xf>
    <xf borderId="6" fillId="0" fontId="8" numFmtId="0" xfId="0" applyBorder="1" applyFont="1"/>
    <xf borderId="5" fillId="0" fontId="6" numFmtId="0" xfId="0" applyBorder="1" applyFont="1"/>
    <xf borderId="5" fillId="0" fontId="3" numFmtId="164" xfId="0" applyBorder="1" applyFont="1" applyNumberFormat="1"/>
    <xf borderId="6" fillId="0" fontId="3" numFmtId="164" xfId="0" applyBorder="1" applyFont="1" applyNumberFormat="1"/>
    <xf borderId="7" fillId="0" fontId="6" numFmtId="49" xfId="0" applyAlignment="1" applyBorder="1" applyFont="1" applyNumberFormat="1">
      <alignment horizontal="right"/>
    </xf>
    <xf borderId="12" fillId="0" fontId="6" numFmtId="49" xfId="0" applyBorder="1" applyFont="1" applyNumberFormat="1"/>
    <xf borderId="6" fillId="0" fontId="6" numFmtId="49" xfId="0" applyAlignment="1" applyBorder="1" applyFont="1" applyNumberFormat="1">
      <alignment horizontal="center"/>
    </xf>
    <xf borderId="5" fillId="0" fontId="6" numFmtId="49" xfId="0" applyAlignment="1" applyBorder="1" applyFont="1" applyNumberFormat="1">
      <alignment horizontal="center"/>
    </xf>
    <xf borderId="13" fillId="0" fontId="6" numFmtId="49" xfId="0" applyAlignment="1" applyBorder="1" applyFont="1" applyNumberFormat="1">
      <alignment horizontal="left" readingOrder="0"/>
    </xf>
    <xf borderId="5" fillId="0" fontId="2" numFmtId="0" xfId="0" applyBorder="1" applyFont="1"/>
    <xf borderId="14" fillId="0" fontId="9" numFmtId="0" xfId="0" applyBorder="1" applyFont="1"/>
    <xf borderId="15" fillId="0" fontId="6" numFmtId="49" xfId="0" applyBorder="1" applyFont="1" applyNumberFormat="1"/>
    <xf borderId="4" fillId="0" fontId="6" numFmtId="0" xfId="0" applyAlignment="1" applyBorder="1" applyFont="1">
      <alignment readingOrder="0"/>
    </xf>
    <xf borderId="16" fillId="0" fontId="3" numFmtId="0" xfId="0" applyBorder="1" applyFont="1"/>
    <xf borderId="4" fillId="0" fontId="3" numFmtId="49" xfId="0" applyAlignment="1" applyBorder="1" applyFont="1" applyNumberFormat="1">
      <alignment readingOrder="0"/>
    </xf>
    <xf borderId="5" fillId="0" fontId="3" numFmtId="49" xfId="0" applyAlignment="1" applyBorder="1" applyFont="1" applyNumberFormat="1">
      <alignment horizontal="center"/>
    </xf>
    <xf borderId="13" fillId="0" fontId="3" numFmtId="49" xfId="0" applyAlignment="1" applyBorder="1" applyFont="1" applyNumberFormat="1">
      <alignment horizontal="center"/>
    </xf>
    <xf borderId="17" fillId="0" fontId="3" numFmtId="49" xfId="0" applyAlignment="1" applyBorder="1" applyFont="1" applyNumberFormat="1">
      <alignment horizontal="center"/>
    </xf>
    <xf borderId="6" fillId="0" fontId="3" numFmtId="0" xfId="0" applyAlignment="1" applyBorder="1" applyFont="1">
      <alignment readingOrder="0"/>
    </xf>
    <xf borderId="13" fillId="0" fontId="3" numFmtId="0" xfId="0" applyBorder="1" applyFont="1"/>
    <xf borderId="17" fillId="0" fontId="10" numFmtId="0" xfId="0" applyAlignment="1" applyBorder="1" applyFont="1">
      <alignment readingOrder="0" shrinkToFit="0" wrapText="1"/>
    </xf>
    <xf borderId="6" fillId="0" fontId="3" numFmtId="3" xfId="0" applyBorder="1" applyFont="1" applyNumberFormat="1"/>
    <xf borderId="5" fillId="0" fontId="3" numFmtId="49" xfId="0" applyBorder="1" applyFont="1" applyNumberFormat="1"/>
    <xf borderId="13" fillId="0" fontId="3" numFmtId="0" xfId="0" applyAlignment="1" applyBorder="1" applyFont="1">
      <alignment readingOrder="0"/>
    </xf>
    <xf borderId="6" fillId="2" fontId="11" numFmtId="49" xfId="0" applyAlignment="1" applyBorder="1" applyFont="1" applyNumberFormat="1">
      <alignment horizontal="left"/>
    </xf>
    <xf borderId="18" fillId="0" fontId="3" numFmtId="0" xfId="0" applyBorder="1" applyFont="1"/>
    <xf borderId="6" fillId="0" fontId="6" numFmtId="3" xfId="0" applyBorder="1" applyFont="1" applyNumberFormat="1"/>
    <xf borderId="4" fillId="0" fontId="6" numFmtId="49" xfId="0" applyAlignment="1" applyBorder="1" applyFont="1" applyNumberFormat="1">
      <alignment readingOrder="0"/>
    </xf>
    <xf borderId="6" fillId="0" fontId="6" numFmtId="166" xfId="0" applyBorder="1" applyFont="1" applyNumberFormat="1"/>
    <xf borderId="5" fillId="0" fontId="6" numFmtId="49" xfId="0" applyAlignment="1" applyBorder="1" applyFont="1" applyNumberFormat="1">
      <alignment readingOrder="0"/>
    </xf>
    <xf borderId="19" fillId="0" fontId="6" numFmtId="49" xfId="0" applyAlignment="1" applyBorder="1" applyFont="1" applyNumberFormat="1">
      <alignment readingOrder="0"/>
    </xf>
    <xf borderId="19" fillId="0" fontId="3" numFmtId="0" xfId="0" applyBorder="1" applyFont="1"/>
    <xf borderId="17" fillId="0" fontId="6" numFmtId="49" xfId="0" applyAlignment="1" applyBorder="1" applyFont="1" applyNumberFormat="1">
      <alignment readingOrder="0"/>
    </xf>
    <xf borderId="17" fillId="0" fontId="3" numFmtId="0" xfId="0" applyBorder="1" applyFont="1"/>
    <xf borderId="5" fillId="0" fontId="6" numFmtId="166" xfId="0" applyBorder="1" applyFont="1" applyNumberFormat="1"/>
    <xf borderId="17" fillId="0" fontId="12" numFmtId="49" xfId="0" applyAlignment="1" applyBorder="1" applyFont="1" applyNumberFormat="1">
      <alignment readingOrder="0" shrinkToFit="0" wrapText="1"/>
    </xf>
    <xf borderId="17" fillId="0" fontId="12" numFmtId="0" xfId="0" applyAlignment="1" applyBorder="1" applyFont="1">
      <alignment readingOrder="0" shrinkToFit="0" wrapText="1"/>
    </xf>
    <xf borderId="5" fillId="0" fontId="3" numFmtId="3" xfId="0" applyBorder="1" applyFont="1" applyNumberFormat="1"/>
    <xf borderId="20" fillId="0" fontId="3" numFmtId="0" xfId="0" applyBorder="1" applyFont="1"/>
    <xf borderId="17" fillId="0" fontId="10" numFmtId="49" xfId="0" applyAlignment="1" applyBorder="1" applyFont="1" applyNumberFormat="1">
      <alignment readingOrder="0" shrinkToFit="0" wrapText="1"/>
    </xf>
    <xf borderId="17" fillId="0" fontId="10" numFmtId="167" xfId="0" applyAlignment="1" applyBorder="1" applyFont="1" applyNumberFormat="1">
      <alignment readingOrder="0" shrinkToFit="0" wrapText="1"/>
    </xf>
    <xf borderId="17" fillId="0" fontId="10" numFmtId="49" xfId="0" applyAlignment="1" applyBorder="1" applyFont="1" applyNumberFormat="1">
      <alignment horizontal="left" readingOrder="0" shrinkToFit="0" wrapText="1"/>
    </xf>
    <xf borderId="21" fillId="0" fontId="6" numFmtId="49" xfId="0" applyBorder="1" applyFont="1" applyNumberFormat="1"/>
    <xf borderId="14" fillId="0" fontId="3" numFmtId="0" xfId="0" applyBorder="1" applyFont="1"/>
    <xf borderId="22" fillId="0" fontId="3" numFmtId="0" xfId="0" applyBorder="1" applyFont="1"/>
    <xf borderId="17" fillId="0" fontId="6" numFmtId="49" xfId="0" applyBorder="1" applyFont="1" applyNumberFormat="1"/>
    <xf borderId="17" fillId="0" fontId="10" numFmtId="49" xfId="0" applyAlignment="1" applyBorder="1" applyFont="1" applyNumberFormat="1">
      <alignment horizontal="right" readingOrder="0" shrinkToFit="0" wrapText="1"/>
    </xf>
    <xf borderId="6" fillId="0" fontId="3" numFmtId="168" xfId="0" applyBorder="1" applyFont="1" applyNumberFormat="1"/>
    <xf borderId="6" fillId="0" fontId="3" numFmtId="166" xfId="0" applyAlignment="1" applyBorder="1" applyFont="1" applyNumberFormat="1">
      <alignment readingOrder="0"/>
    </xf>
    <xf borderId="17" fillId="0" fontId="10" numFmtId="167" xfId="0" applyAlignment="1" applyBorder="1" applyFont="1" applyNumberFormat="1">
      <alignment horizontal="right" readingOrder="0" shrinkToFit="0" wrapText="1"/>
    </xf>
    <xf borderId="6" fillId="0" fontId="3" numFmtId="167" xfId="0" applyBorder="1" applyFont="1" applyNumberFormat="1"/>
    <xf borderId="17" fillId="0" fontId="10" numFmtId="3" xfId="0" applyAlignment="1" applyBorder="1" applyFont="1" applyNumberFormat="1">
      <alignment horizontal="right" readingOrder="0" shrinkToFit="0" wrapText="1"/>
    </xf>
    <xf borderId="17" fillId="0" fontId="10" numFmtId="3" xfId="0" applyAlignment="1" applyBorder="1" applyFont="1" applyNumberFormat="1">
      <alignment readingOrder="0" shrinkToFit="0" wrapText="1"/>
    </xf>
    <xf borderId="6" fillId="0" fontId="3" numFmtId="169" xfId="0" applyBorder="1" applyFont="1" applyNumberFormat="1"/>
    <xf borderId="15" fillId="0" fontId="6" numFmtId="49" xfId="0" applyAlignment="1" applyBorder="1" applyFont="1" applyNumberFormat="1">
      <alignment readingOrder="0"/>
    </xf>
    <xf borderId="18" fillId="0" fontId="3" numFmtId="3" xfId="0" applyBorder="1" applyFont="1" applyNumberFormat="1"/>
    <xf borderId="6" fillId="0" fontId="6" numFmtId="169" xfId="0" applyBorder="1" applyFont="1" applyNumberFormat="1"/>
    <xf borderId="12" fillId="0" fontId="3" numFmtId="49" xfId="0" applyBorder="1" applyFont="1" applyNumberFormat="1"/>
    <xf borderId="16" fillId="0" fontId="3" numFmtId="3" xfId="0" applyBorder="1" applyFont="1" applyNumberFormat="1"/>
    <xf borderId="16" fillId="0" fontId="3" numFmtId="169" xfId="0" applyBorder="1" applyFont="1" applyNumberFormat="1"/>
    <xf borderId="23" fillId="0" fontId="3" numFmtId="0" xfId="0" applyBorder="1" applyFont="1"/>
    <xf borderId="0" fillId="0" fontId="13" numFmtId="0" xfId="0" applyFont="1"/>
    <xf borderId="17" fillId="0" fontId="12" numFmtId="0" xfId="0" applyAlignment="1" applyBorder="1" applyFont="1">
      <alignment horizontal="right" readingOrder="0" shrinkToFit="0" wrapText="1"/>
    </xf>
    <xf borderId="17" fillId="0" fontId="14" numFmtId="0" xfId="0" applyAlignment="1" applyBorder="1" applyFont="1">
      <alignment readingOrder="0" shrinkToFit="0" wrapText="1"/>
    </xf>
    <xf borderId="4" fillId="0" fontId="15" numFmtId="49" xfId="0" applyAlignment="1" applyBorder="1" applyFont="1" applyNumberFormat="1">
      <alignment vertical="bottom"/>
    </xf>
    <xf borderId="5" fillId="0" fontId="16" numFmtId="0" xfId="0" applyAlignment="1" applyBorder="1" applyFont="1">
      <alignment vertical="bottom"/>
    </xf>
    <xf borderId="6" fillId="0" fontId="16" numFmtId="49" xfId="0" applyAlignment="1" applyBorder="1" applyFont="1" applyNumberFormat="1">
      <alignment vertical="bottom"/>
    </xf>
    <xf borderId="6" fillId="0" fontId="16" numFmtId="0" xfId="0" applyAlignment="1" applyBorder="1" applyFont="1">
      <alignment vertical="bottom"/>
    </xf>
    <xf borderId="7" fillId="0" fontId="16" numFmtId="0" xfId="0" applyAlignment="1" applyBorder="1" applyFont="1">
      <alignment vertical="bottom"/>
    </xf>
    <xf borderId="4" fillId="0" fontId="16" numFmtId="49" xfId="0" applyAlignment="1" applyBorder="1" applyFont="1" applyNumberFormat="1">
      <alignment vertical="bottom"/>
    </xf>
    <xf borderId="5" fillId="0" fontId="16" numFmtId="0" xfId="0" applyAlignment="1" applyBorder="1" applyFont="1">
      <alignment horizontal="center" vertical="bottom"/>
    </xf>
    <xf borderId="6" fillId="0" fontId="16" numFmtId="0" xfId="0" applyAlignment="1" applyBorder="1" applyFont="1">
      <alignment horizontal="center" vertical="bottom"/>
    </xf>
    <xf borderId="6" fillId="0" fontId="16" numFmtId="3" xfId="0" applyAlignment="1" applyBorder="1" applyFont="1" applyNumberFormat="1">
      <alignment vertical="bottom"/>
    </xf>
    <xf borderId="5" fillId="0" fontId="16" numFmtId="0" xfId="0" applyAlignment="1" applyBorder="1" applyFont="1">
      <alignment horizontal="right" vertical="bottom"/>
    </xf>
    <xf borderId="6" fillId="0" fontId="16" numFmtId="3" xfId="0" applyAlignment="1" applyBorder="1" applyFont="1" applyNumberFormat="1">
      <alignment horizontal="right" vertical="bottom"/>
    </xf>
    <xf borderId="6" fillId="0" fontId="16" numFmtId="169" xfId="0" applyAlignment="1" applyBorder="1" applyFont="1" applyNumberFormat="1">
      <alignment horizontal="right" vertical="bottom"/>
    </xf>
    <xf borderId="12" fillId="0" fontId="16" numFmtId="49" xfId="0" applyAlignment="1" applyBorder="1" applyFont="1" applyNumberFormat="1">
      <alignment vertical="bottom"/>
    </xf>
    <xf borderId="19" fillId="0" fontId="16" numFmtId="0" xfId="0" applyAlignment="1" applyBorder="1" applyFont="1">
      <alignment vertical="bottom"/>
    </xf>
    <xf borderId="16" fillId="0" fontId="16" numFmtId="0" xfId="0" applyAlignment="1" applyBorder="1" applyFont="1">
      <alignment vertical="bottom"/>
    </xf>
    <xf borderId="16" fillId="0" fontId="15" numFmtId="166" xfId="0" applyAlignment="1" applyBorder="1" applyFont="1" applyNumberFormat="1">
      <alignment horizontal="right" vertical="bottom"/>
    </xf>
    <xf borderId="16" fillId="0" fontId="16" numFmtId="169" xfId="0" applyAlignment="1" applyBorder="1" applyFont="1" applyNumberFormat="1">
      <alignment horizontal="right" vertical="bottom"/>
    </xf>
    <xf borderId="23" fillId="0" fontId="16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0"/>
  <cols>
    <col customWidth="1" min="1" max="1" width="38.5"/>
    <col customWidth="1" min="2" max="2" width="12.25"/>
    <col customWidth="1" min="3" max="3" width="13.75"/>
    <col customWidth="1" min="4" max="4" width="12.88"/>
    <col customWidth="1" min="5" max="5" width="19.5"/>
    <col customWidth="1" min="6" max="6" width="21.13"/>
    <col customWidth="1" min="7" max="7" width="15.38"/>
    <col customWidth="1" min="8" max="8" width="15.63"/>
    <col customWidth="1" min="9" max="26" width="6.75"/>
  </cols>
  <sheetData>
    <row r="1" ht="23.25" customHeight="1">
      <c r="A1" s="1" t="s">
        <v>0</v>
      </c>
      <c r="B1" s="2"/>
      <c r="C1" s="2"/>
      <c r="D1" s="2"/>
      <c r="E1" s="2"/>
      <c r="F1" s="2"/>
      <c r="G1" s="2"/>
      <c r="H1" s="3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23.25" customHeight="1">
      <c r="A2" s="5" t="s">
        <v>1</v>
      </c>
      <c r="B2" s="6"/>
      <c r="C2" s="7"/>
      <c r="D2" s="8" t="s">
        <v>2</v>
      </c>
      <c r="E2" s="9"/>
      <c r="F2" s="9"/>
      <c r="G2" s="9"/>
      <c r="H2" s="10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9.0" customHeight="1">
      <c r="A3" s="11"/>
      <c r="B3" s="12"/>
      <c r="C3" s="12"/>
      <c r="D3" s="12"/>
      <c r="E3" s="12"/>
      <c r="F3" s="12"/>
      <c r="G3" s="12"/>
      <c r="H3" s="13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2.75" customHeight="1">
      <c r="A4" s="14"/>
      <c r="B4" s="15"/>
      <c r="C4" s="16"/>
      <c r="D4" s="16"/>
      <c r="E4" s="16"/>
      <c r="F4" s="16"/>
      <c r="G4" s="16"/>
      <c r="H4" s="17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2.75" customHeight="1">
      <c r="A5" s="18" t="s">
        <v>3</v>
      </c>
      <c r="B5" s="19"/>
      <c r="C5" s="20">
        <v>0.08</v>
      </c>
      <c r="D5" s="21"/>
      <c r="E5" s="21"/>
      <c r="F5" s="21"/>
      <c r="G5" s="21"/>
      <c r="H5" s="22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2.75" customHeight="1">
      <c r="A6" s="23"/>
      <c r="B6" s="24"/>
      <c r="C6" s="25"/>
      <c r="D6" s="21"/>
      <c r="E6" s="21"/>
      <c r="F6" s="21"/>
      <c r="G6" s="21"/>
      <c r="H6" s="22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2.75" customHeight="1">
      <c r="A7" s="26" t="s">
        <v>4</v>
      </c>
      <c r="B7" s="27"/>
      <c r="C7" s="21"/>
      <c r="D7" s="21"/>
      <c r="E7" s="28" t="s">
        <v>5</v>
      </c>
      <c r="F7" s="21"/>
      <c r="G7" s="29"/>
      <c r="H7" s="22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2.75" customHeight="1">
      <c r="A8" s="30"/>
      <c r="B8" s="31"/>
      <c r="C8" s="32">
        <v>0.0</v>
      </c>
      <c r="D8" s="32">
        <v>1.0</v>
      </c>
      <c r="E8" s="32">
        <v>2.0</v>
      </c>
      <c r="F8" s="32">
        <v>3.0</v>
      </c>
      <c r="G8" s="28" t="s">
        <v>6</v>
      </c>
      <c r="H8" s="22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2.75" customHeight="1">
      <c r="A9" s="26" t="s">
        <v>7</v>
      </c>
      <c r="B9" s="33"/>
      <c r="C9" s="34">
        <v>39849.7</v>
      </c>
      <c r="D9" s="35">
        <v>39000.0</v>
      </c>
      <c r="E9" s="35">
        <v>33000.0</v>
      </c>
      <c r="F9" s="34">
        <v>33000.0</v>
      </c>
      <c r="G9" s="21"/>
      <c r="H9" s="22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2.75" customHeight="1">
      <c r="A10" s="26" t="s">
        <v>8</v>
      </c>
      <c r="B10" s="36"/>
      <c r="C10" s="37">
        <f t="shared" ref="C10:F10" si="1">ROUND(1/(1+$C$5)^C$8,2)</f>
        <v>1</v>
      </c>
      <c r="D10" s="37">
        <f t="shared" si="1"/>
        <v>0.93</v>
      </c>
      <c r="E10" s="37">
        <f t="shared" si="1"/>
        <v>0.86</v>
      </c>
      <c r="F10" s="37">
        <f t="shared" si="1"/>
        <v>0.79</v>
      </c>
      <c r="G10" s="21"/>
      <c r="H10" s="22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2.75" customHeight="1">
      <c r="A11" s="18" t="s">
        <v>9</v>
      </c>
      <c r="B11" s="38"/>
      <c r="C11" s="39">
        <f t="shared" ref="C11:F11" si="2">C9*C10</f>
        <v>39849.7</v>
      </c>
      <c r="D11" s="39">
        <f t="shared" si="2"/>
        <v>36270</v>
      </c>
      <c r="E11" s="39">
        <f t="shared" si="2"/>
        <v>28380</v>
      </c>
      <c r="F11" s="39">
        <f t="shared" si="2"/>
        <v>26070</v>
      </c>
      <c r="G11" s="39">
        <f>SUM(C11:F11)</f>
        <v>130569.7</v>
      </c>
      <c r="H11" s="22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2.75" customHeight="1">
      <c r="A12" s="30"/>
      <c r="B12" s="27"/>
      <c r="C12" s="21"/>
      <c r="D12" s="21"/>
      <c r="E12" s="21"/>
      <c r="F12" s="21"/>
      <c r="G12" s="21"/>
      <c r="H12" s="22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2.75" customHeight="1">
      <c r="A13" s="26" t="s">
        <v>10</v>
      </c>
      <c r="B13" s="40"/>
      <c r="C13" s="41">
        <v>0.0</v>
      </c>
      <c r="D13" s="42">
        <v>130500.0</v>
      </c>
      <c r="E13" s="42">
        <v>163125.0</v>
      </c>
      <c r="F13" s="42">
        <v>195750.0</v>
      </c>
      <c r="G13" s="21"/>
      <c r="H13" s="22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2.75" customHeight="1">
      <c r="A14" s="26" t="s">
        <v>8</v>
      </c>
      <c r="B14" s="36"/>
      <c r="C14" s="37">
        <f t="shared" ref="C14:F14" si="3">ROUND(1/(1+$C$5)^C$8,2)</f>
        <v>1</v>
      </c>
      <c r="D14" s="37">
        <f t="shared" si="3"/>
        <v>0.93</v>
      </c>
      <c r="E14" s="37">
        <f t="shared" si="3"/>
        <v>0.86</v>
      </c>
      <c r="F14" s="37">
        <f t="shared" si="3"/>
        <v>0.79</v>
      </c>
      <c r="G14" s="43"/>
      <c r="H14" s="22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2.75" customHeight="1">
      <c r="A15" s="18" t="s">
        <v>11</v>
      </c>
      <c r="B15" s="44"/>
      <c r="C15" s="29">
        <f t="shared" ref="C15:F15" si="4">C13*C14</f>
        <v>0</v>
      </c>
      <c r="D15" s="39">
        <f t="shared" si="4"/>
        <v>121365</v>
      </c>
      <c r="E15" s="39">
        <f t="shared" si="4"/>
        <v>140287.5</v>
      </c>
      <c r="F15" s="39">
        <f t="shared" si="4"/>
        <v>154642.5</v>
      </c>
      <c r="G15" s="39">
        <f>SUM(C15:F15)</f>
        <v>416295</v>
      </c>
      <c r="H15" s="22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2.75" customHeight="1">
      <c r="A16" s="30"/>
      <c r="B16" s="27"/>
      <c r="C16" s="21"/>
      <c r="D16" s="21"/>
      <c r="E16" s="21"/>
      <c r="F16" s="21"/>
      <c r="G16" s="21"/>
      <c r="H16" s="22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2.75" customHeight="1">
      <c r="A17" s="26" t="s">
        <v>12</v>
      </c>
      <c r="B17" s="45"/>
      <c r="C17" s="46">
        <f t="shared" ref="C17:G17" si="5">C15-C11</f>
        <v>-39849.7</v>
      </c>
      <c r="D17" s="46">
        <f t="shared" si="5"/>
        <v>85095</v>
      </c>
      <c r="E17" s="46">
        <f t="shared" si="5"/>
        <v>111907.5</v>
      </c>
      <c r="F17" s="46">
        <f t="shared" si="5"/>
        <v>128572.5</v>
      </c>
      <c r="G17" s="39">
        <f t="shared" si="5"/>
        <v>285725.3</v>
      </c>
      <c r="H17" s="47" t="s">
        <v>13</v>
      </c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2.75" customHeight="1">
      <c r="A18" s="26" t="s">
        <v>14</v>
      </c>
      <c r="B18" s="45"/>
      <c r="C18" s="46">
        <f>C17</f>
        <v>-39849.7</v>
      </c>
      <c r="D18" s="46">
        <f t="shared" ref="D18:F18" si="6">C18+D17</f>
        <v>45245.3</v>
      </c>
      <c r="E18" s="46">
        <f t="shared" si="6"/>
        <v>157152.8</v>
      </c>
      <c r="F18" s="46">
        <f t="shared" si="6"/>
        <v>285725.3</v>
      </c>
      <c r="G18" s="21"/>
      <c r="H18" s="22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2.75" customHeight="1">
      <c r="A19" s="30"/>
      <c r="B19" s="27"/>
      <c r="C19" s="21"/>
      <c r="D19" s="21"/>
      <c r="E19" s="21"/>
      <c r="F19" s="21"/>
      <c r="G19" s="21"/>
      <c r="H19" s="22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2.75" customHeight="1">
      <c r="A20" s="48" t="s">
        <v>15</v>
      </c>
      <c r="B20" s="24"/>
      <c r="C20" s="25">
        <f>(G15-G11)/G11</f>
        <v>2.188297132</v>
      </c>
      <c r="D20" s="21"/>
      <c r="E20" s="21"/>
      <c r="F20" s="21"/>
      <c r="G20" s="21"/>
      <c r="H20" s="22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2.75" customHeight="1">
      <c r="A21" s="49"/>
      <c r="B21" s="50"/>
      <c r="C21" s="50"/>
      <c r="D21" s="51" t="s">
        <v>16</v>
      </c>
      <c r="E21" s="12"/>
      <c r="F21" s="52"/>
      <c r="G21" s="53"/>
      <c r="H21" s="53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2.75" customHeight="1">
      <c r="A22" s="54" t="s">
        <v>17</v>
      </c>
      <c r="B22" s="27"/>
      <c r="C22" s="21"/>
      <c r="D22" s="21"/>
      <c r="E22" s="21"/>
      <c r="F22" s="21"/>
      <c r="G22" s="21"/>
      <c r="H22" s="22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2.75" customHeight="1">
      <c r="A23" s="55" t="s">
        <v>18</v>
      </c>
      <c r="B23" s="27"/>
      <c r="C23" s="21"/>
      <c r="D23" s="56"/>
      <c r="E23" s="21"/>
      <c r="F23" s="21"/>
      <c r="G23" s="21"/>
      <c r="H23" s="22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2.75" customHeight="1">
      <c r="A24" s="57" t="s">
        <v>19</v>
      </c>
      <c r="B24" s="58" t="s">
        <v>20</v>
      </c>
      <c r="C24" s="59" t="s">
        <v>21</v>
      </c>
      <c r="D24" s="60" t="s">
        <v>22</v>
      </c>
      <c r="E24" s="27"/>
      <c r="F24" s="61" t="s">
        <v>23</v>
      </c>
      <c r="G24" s="21"/>
      <c r="H24" s="22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2.75" customHeight="1">
      <c r="A25" s="26" t="s">
        <v>24</v>
      </c>
      <c r="B25" s="27">
        <v>1.0</v>
      </c>
      <c r="C25" s="62">
        <v>30.0</v>
      </c>
      <c r="D25" s="63">
        <v>50.0</v>
      </c>
      <c r="E25" s="27"/>
      <c r="F25" s="64">
        <f>D25*C25</f>
        <v>1500</v>
      </c>
      <c r="G25" s="21"/>
      <c r="H25" s="22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2.75" customHeight="1">
      <c r="A26" s="26" t="s">
        <v>25</v>
      </c>
      <c r="B26" s="27">
        <v>1.0</v>
      </c>
      <c r="C26" s="62">
        <v>30.0</v>
      </c>
      <c r="D26" s="63">
        <v>51.0</v>
      </c>
      <c r="E26" s="27"/>
      <c r="F26" s="64">
        <f>MULTIPLY(C26, D26)</f>
        <v>1530</v>
      </c>
      <c r="G26" s="21"/>
      <c r="H26" s="22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4.25" customHeight="1">
      <c r="A27" s="65" t="s">
        <v>26</v>
      </c>
      <c r="B27" s="27">
        <v>1.0</v>
      </c>
      <c r="C27" s="62">
        <v>20.0</v>
      </c>
      <c r="D27" s="63">
        <v>70.0</v>
      </c>
      <c r="E27" s="27"/>
      <c r="F27" s="64">
        <f>MULTIPLY(C27,D27)</f>
        <v>1400</v>
      </c>
      <c r="G27" s="21"/>
      <c r="H27" s="22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2.75" customHeight="1">
      <c r="A28" s="27" t="s">
        <v>27</v>
      </c>
      <c r="B28" s="27">
        <v>1.0</v>
      </c>
      <c r="C28" s="62">
        <v>20.0</v>
      </c>
      <c r="D28" s="63">
        <v>90.0</v>
      </c>
      <c r="E28" s="27"/>
      <c r="F28" s="64">
        <f t="shared" ref="F28:F33" si="7">D28*C28</f>
        <v>1800</v>
      </c>
      <c r="G28" s="21"/>
      <c r="H28" s="22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2.75" customHeight="1">
      <c r="A29" s="65" t="s">
        <v>28</v>
      </c>
      <c r="B29" s="27">
        <v>2.0</v>
      </c>
      <c r="C29" s="62">
        <v>20.0</v>
      </c>
      <c r="D29" s="63">
        <v>155.0</v>
      </c>
      <c r="E29" s="27"/>
      <c r="F29" s="64">
        <f t="shared" si="7"/>
        <v>3100</v>
      </c>
      <c r="G29" s="21"/>
      <c r="H29" s="22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2.75" customHeight="1">
      <c r="A30" s="65" t="s">
        <v>29</v>
      </c>
      <c r="B30" s="27">
        <v>1.0</v>
      </c>
      <c r="C30" s="66">
        <v>20.0</v>
      </c>
      <c r="D30" s="63">
        <v>50.0</v>
      </c>
      <c r="E30" s="27"/>
      <c r="F30" s="64">
        <f t="shared" si="7"/>
        <v>1000</v>
      </c>
      <c r="G30" s="21"/>
      <c r="H30" s="22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2.75" customHeight="1">
      <c r="A31" s="65" t="s">
        <v>30</v>
      </c>
      <c r="B31" s="27">
        <v>1.0</v>
      </c>
      <c r="C31" s="62">
        <v>20.0</v>
      </c>
      <c r="D31" s="63">
        <v>45.0</v>
      </c>
      <c r="E31" s="27"/>
      <c r="F31" s="64">
        <f t="shared" si="7"/>
        <v>900</v>
      </c>
      <c r="G31" s="21"/>
      <c r="H31" s="22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2.75" customHeight="1">
      <c r="A32" s="65" t="s">
        <v>31</v>
      </c>
      <c r="B32" s="27">
        <v>2.0</v>
      </c>
      <c r="C32" s="62">
        <v>20.0</v>
      </c>
      <c r="D32" s="63">
        <v>32.0</v>
      </c>
      <c r="E32" s="27"/>
      <c r="F32" s="64">
        <f t="shared" si="7"/>
        <v>640</v>
      </c>
      <c r="G32" s="21"/>
      <c r="H32" s="22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2.75" customHeight="1">
      <c r="A33" s="26" t="s">
        <v>32</v>
      </c>
      <c r="B33" s="27">
        <v>1.0</v>
      </c>
      <c r="C33" s="62">
        <v>20.0</v>
      </c>
      <c r="D33" s="63">
        <v>45.0</v>
      </c>
      <c r="E33" s="27"/>
      <c r="F33" s="64">
        <f t="shared" si="7"/>
        <v>900</v>
      </c>
      <c r="G33" s="21"/>
      <c r="H33" s="22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2.75" customHeight="1">
      <c r="A34" s="67"/>
      <c r="B34" s="27"/>
      <c r="C34" s="21"/>
      <c r="D34" s="68"/>
      <c r="E34" s="21"/>
      <c r="F34" s="69"/>
      <c r="G34" s="21"/>
      <c r="H34" s="22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2.75" customHeight="1">
      <c r="A35" s="70" t="s">
        <v>33</v>
      </c>
      <c r="B35" s="27"/>
      <c r="C35" s="21"/>
      <c r="D35" s="21"/>
      <c r="E35" s="21"/>
      <c r="F35" s="71">
        <f>SUM(F25:F33)</f>
        <v>12770</v>
      </c>
      <c r="G35" s="21"/>
      <c r="H35" s="22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2.75" customHeight="1">
      <c r="A36" s="18"/>
      <c r="B36" s="27"/>
      <c r="C36" s="21"/>
      <c r="D36" s="56"/>
      <c r="E36" s="21"/>
      <c r="F36" s="71"/>
      <c r="G36" s="21"/>
      <c r="H36" s="22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2.75" customHeight="1">
      <c r="A37" s="55" t="s">
        <v>34</v>
      </c>
      <c r="B37" s="27"/>
      <c r="C37" s="21"/>
      <c r="D37" s="56"/>
      <c r="E37" s="21"/>
      <c r="F37" s="21"/>
      <c r="G37" s="21"/>
      <c r="H37" s="22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2.75" customHeight="1">
      <c r="A38" s="57" t="s">
        <v>19</v>
      </c>
      <c r="B38" s="58" t="s">
        <v>20</v>
      </c>
      <c r="C38" s="59" t="s">
        <v>21</v>
      </c>
      <c r="D38" s="60" t="s">
        <v>22</v>
      </c>
      <c r="E38" s="27"/>
      <c r="F38" s="61" t="s">
        <v>23</v>
      </c>
      <c r="G38" s="21"/>
      <c r="H38" s="22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2.75" customHeight="1">
      <c r="A39" s="26" t="s">
        <v>24</v>
      </c>
      <c r="B39" s="27">
        <v>1.0</v>
      </c>
      <c r="C39" s="62">
        <v>30.0</v>
      </c>
      <c r="D39" s="63">
        <v>120.0</v>
      </c>
      <c r="E39" s="27"/>
      <c r="F39" s="64">
        <f>D39*C39</f>
        <v>3600</v>
      </c>
      <c r="G39" s="21"/>
      <c r="H39" s="22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2.75" customHeight="1">
      <c r="A40" s="26" t="s">
        <v>25</v>
      </c>
      <c r="B40" s="27">
        <v>1.0</v>
      </c>
      <c r="C40" s="62">
        <v>30.0</v>
      </c>
      <c r="D40" s="63">
        <v>100.0</v>
      </c>
      <c r="E40" s="27"/>
      <c r="F40" s="64">
        <f>MULTIPLY(C40, D40)</f>
        <v>3000</v>
      </c>
      <c r="G40" s="21"/>
      <c r="H40" s="22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2.75" customHeight="1">
      <c r="A41" s="65" t="s">
        <v>26</v>
      </c>
      <c r="B41" s="27">
        <v>1.0</v>
      </c>
      <c r="C41" s="62">
        <v>20.0</v>
      </c>
      <c r="D41" s="63">
        <v>70.0</v>
      </c>
      <c r="E41" s="27"/>
      <c r="F41" s="64">
        <f>MULTIPLY(C41,D41)</f>
        <v>1400</v>
      </c>
      <c r="G41" s="21"/>
      <c r="H41" s="22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2.75" customHeight="1">
      <c r="A42" s="27" t="s">
        <v>27</v>
      </c>
      <c r="B42" s="27">
        <v>1.0</v>
      </c>
      <c r="C42" s="62">
        <v>20.0</v>
      </c>
      <c r="D42" s="63">
        <v>70.0</v>
      </c>
      <c r="E42" s="27"/>
      <c r="F42" s="64">
        <f t="shared" ref="F42:F47" si="8">D42*C42</f>
        <v>1400</v>
      </c>
      <c r="G42" s="21"/>
      <c r="H42" s="22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2.75" customHeight="1">
      <c r="A43" s="65" t="s">
        <v>28</v>
      </c>
      <c r="B43" s="27">
        <v>2.0</v>
      </c>
      <c r="C43" s="62">
        <v>20.0</v>
      </c>
      <c r="D43" s="63">
        <v>140.0</v>
      </c>
      <c r="E43" s="27"/>
      <c r="F43" s="64">
        <f t="shared" si="8"/>
        <v>2800</v>
      </c>
      <c r="G43" s="21"/>
      <c r="H43" s="22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2.75" customHeight="1">
      <c r="A44" s="65" t="s">
        <v>29</v>
      </c>
      <c r="B44" s="27">
        <v>1.0</v>
      </c>
      <c r="C44" s="66">
        <v>20.0</v>
      </c>
      <c r="D44" s="63">
        <v>70.0</v>
      </c>
      <c r="E44" s="27"/>
      <c r="F44" s="64">
        <f t="shared" si="8"/>
        <v>1400</v>
      </c>
      <c r="G44" s="21"/>
      <c r="H44" s="22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2.75" customHeight="1">
      <c r="A45" s="65" t="s">
        <v>30</v>
      </c>
      <c r="B45" s="27">
        <v>1.0</v>
      </c>
      <c r="C45" s="62">
        <v>20.0</v>
      </c>
      <c r="D45" s="63">
        <v>70.0</v>
      </c>
      <c r="E45" s="27"/>
      <c r="F45" s="64">
        <f t="shared" si="8"/>
        <v>1400</v>
      </c>
      <c r="G45" s="21"/>
      <c r="H45" s="22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2.75" customHeight="1">
      <c r="A46" s="65" t="s">
        <v>31</v>
      </c>
      <c r="B46" s="27">
        <v>2.0</v>
      </c>
      <c r="C46" s="62">
        <v>20.0</v>
      </c>
      <c r="D46" s="63">
        <v>20.0</v>
      </c>
      <c r="E46" s="27"/>
      <c r="F46" s="64">
        <f t="shared" si="8"/>
        <v>400</v>
      </c>
      <c r="G46" s="21"/>
      <c r="H46" s="22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2.75" customHeight="1">
      <c r="A47" s="26" t="s">
        <v>32</v>
      </c>
      <c r="B47" s="27">
        <v>1.0</v>
      </c>
      <c r="C47" s="62">
        <v>20.0</v>
      </c>
      <c r="D47" s="63">
        <v>70.0</v>
      </c>
      <c r="E47" s="27"/>
      <c r="F47" s="64">
        <f t="shared" si="8"/>
        <v>1400</v>
      </c>
      <c r="G47" s="21"/>
      <c r="H47" s="22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2.75" customHeight="1">
      <c r="A48" s="67"/>
      <c r="B48" s="27"/>
      <c r="C48" s="21"/>
      <c r="D48" s="68"/>
      <c r="E48" s="21"/>
      <c r="F48" s="69"/>
      <c r="G48" s="21"/>
      <c r="H48" s="22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2.75" customHeight="1">
      <c r="A49" s="70" t="s">
        <v>35</v>
      </c>
      <c r="B49" s="27"/>
      <c r="C49" s="21"/>
      <c r="D49" s="21"/>
      <c r="E49" s="21"/>
      <c r="F49" s="71">
        <f>SUM(F39:F47)</f>
        <v>16800</v>
      </c>
      <c r="G49" s="21"/>
      <c r="H49" s="22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2.75" customHeight="1">
      <c r="A50" s="72"/>
      <c r="B50" s="27"/>
      <c r="C50" s="21"/>
      <c r="D50" s="21"/>
      <c r="E50" s="21"/>
      <c r="F50" s="71"/>
      <c r="G50" s="21"/>
      <c r="H50" s="22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2.75" customHeight="1">
      <c r="A51" s="73" t="s">
        <v>36</v>
      </c>
      <c r="B51" s="74"/>
      <c r="C51" s="56"/>
      <c r="D51" s="56"/>
      <c r="E51" s="56"/>
      <c r="F51" s="71">
        <f>SUM(F35,F49)</f>
        <v>29570</v>
      </c>
      <c r="G51" s="21"/>
      <c r="H51" s="22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2.75" customHeight="1">
      <c r="A52" s="75"/>
      <c r="B52" s="76"/>
      <c r="C52" s="76"/>
      <c r="D52" s="76"/>
      <c r="E52" s="76"/>
      <c r="F52" s="77"/>
      <c r="G52" s="21"/>
      <c r="H52" s="22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2.75" customHeight="1">
      <c r="A53" s="78" t="s">
        <v>37</v>
      </c>
      <c r="B53" s="79"/>
      <c r="C53" s="79"/>
      <c r="D53" s="79"/>
      <c r="E53" s="76"/>
      <c r="F53" s="80"/>
      <c r="G53" s="21"/>
      <c r="H53" s="22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2.75" customHeight="1">
      <c r="A54" s="78" t="s">
        <v>38</v>
      </c>
      <c r="B54" s="79" t="s">
        <v>39</v>
      </c>
      <c r="C54" s="79" t="s">
        <v>40</v>
      </c>
      <c r="D54" s="79" t="s">
        <v>41</v>
      </c>
      <c r="E54" s="81"/>
      <c r="F54" s="64"/>
      <c r="G54" s="21"/>
      <c r="H54" s="22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2.75" customHeight="1">
      <c r="A55" s="82" t="s">
        <v>24</v>
      </c>
      <c r="B55" s="63">
        <v>1.0</v>
      </c>
      <c r="C55" s="83">
        <v>30.0</v>
      </c>
      <c r="D55" s="63">
        <v>400.0</v>
      </c>
      <c r="E55" s="27"/>
      <c r="F55" s="64">
        <f t="shared" ref="F55:F61" si="9">MULTIPLY(D55,C55)</f>
        <v>12000</v>
      </c>
      <c r="G55" s="21"/>
      <c r="H55" s="22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2.75" customHeight="1">
      <c r="A56" s="82" t="s">
        <v>42</v>
      </c>
      <c r="B56" s="63">
        <v>1.0</v>
      </c>
      <c r="C56" s="83">
        <v>20.0</v>
      </c>
      <c r="D56" s="63">
        <v>200.0</v>
      </c>
      <c r="E56" s="27"/>
      <c r="F56" s="64">
        <f t="shared" si="9"/>
        <v>4000</v>
      </c>
      <c r="G56" s="21"/>
      <c r="H56" s="22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2.75" customHeight="1">
      <c r="A57" s="82" t="s">
        <v>43</v>
      </c>
      <c r="B57" s="63">
        <v>1.0</v>
      </c>
      <c r="C57" s="83">
        <v>20.0</v>
      </c>
      <c r="D57" s="63">
        <v>400.0</v>
      </c>
      <c r="E57" s="27"/>
      <c r="F57" s="64">
        <f t="shared" si="9"/>
        <v>8000</v>
      </c>
      <c r="G57" s="21"/>
      <c r="H57" s="22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2.75" customHeight="1">
      <c r="A58" s="82" t="s">
        <v>32</v>
      </c>
      <c r="B58" s="63">
        <v>1.0</v>
      </c>
      <c r="C58" s="83">
        <v>20.0</v>
      </c>
      <c r="D58" s="63">
        <v>160.0</v>
      </c>
      <c r="E58" s="27"/>
      <c r="F58" s="64">
        <f t="shared" si="9"/>
        <v>3200</v>
      </c>
      <c r="G58" s="21"/>
      <c r="H58" s="22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2.75" customHeight="1">
      <c r="A59" s="84" t="s">
        <v>44</v>
      </c>
      <c r="B59" s="63">
        <v>1.0</v>
      </c>
      <c r="C59" s="83">
        <v>20.0</v>
      </c>
      <c r="D59" s="63">
        <v>200.0</v>
      </c>
      <c r="E59" s="27"/>
      <c r="F59" s="64">
        <f t="shared" si="9"/>
        <v>4000</v>
      </c>
      <c r="G59" s="21"/>
      <c r="H59" s="22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2.75" customHeight="1">
      <c r="A60" s="82" t="s">
        <v>45</v>
      </c>
      <c r="B60" s="63">
        <v>1.0</v>
      </c>
      <c r="C60" s="83">
        <v>20.0</v>
      </c>
      <c r="D60" s="63">
        <v>100.0</v>
      </c>
      <c r="E60" s="27"/>
      <c r="F60" s="64">
        <f t="shared" si="9"/>
        <v>2000</v>
      </c>
      <c r="G60" s="21"/>
      <c r="H60" s="22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2.75" customHeight="1">
      <c r="A61" s="84" t="s">
        <v>46</v>
      </c>
      <c r="B61" s="63">
        <v>1.0</v>
      </c>
      <c r="C61" s="83">
        <v>20.0</v>
      </c>
      <c r="D61" s="63">
        <v>300.0</v>
      </c>
      <c r="E61" s="27"/>
      <c r="F61" s="64">
        <f t="shared" si="9"/>
        <v>6000</v>
      </c>
      <c r="G61" s="21"/>
      <c r="H61" s="22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2.75" customHeight="1">
      <c r="A62" s="85" t="s">
        <v>47</v>
      </c>
      <c r="B62" s="86"/>
      <c r="C62" s="87"/>
      <c r="D62" s="87"/>
      <c r="E62" s="21"/>
      <c r="F62" s="71">
        <f>SUM(F55,F56,F57,F58,F59,F60,F61)</f>
        <v>39200</v>
      </c>
      <c r="G62" s="21"/>
      <c r="H62" s="22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2.75" customHeight="1">
      <c r="A63" s="88"/>
      <c r="B63" s="76"/>
      <c r="C63" s="76"/>
      <c r="D63" s="76"/>
      <c r="E63" s="27"/>
      <c r="F63" s="71"/>
      <c r="G63" s="21"/>
      <c r="H63" s="22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2.75" customHeight="1">
      <c r="A64" s="75" t="s">
        <v>48</v>
      </c>
      <c r="B64" s="76"/>
      <c r="C64" s="76"/>
      <c r="D64" s="76"/>
      <c r="E64" s="27"/>
      <c r="F64" s="71"/>
      <c r="G64" s="21"/>
      <c r="H64" s="22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2.75" customHeight="1">
      <c r="A65" s="78" t="s">
        <v>38</v>
      </c>
      <c r="B65" s="79" t="s">
        <v>39</v>
      </c>
      <c r="C65" s="79" t="s">
        <v>40</v>
      </c>
      <c r="D65" s="79" t="s">
        <v>41</v>
      </c>
      <c r="E65" s="27"/>
      <c r="F65" s="71"/>
      <c r="G65" s="21"/>
      <c r="H65" s="22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2.75" customHeight="1">
      <c r="A66" s="82" t="s">
        <v>24</v>
      </c>
      <c r="B66" s="63">
        <v>1.0</v>
      </c>
      <c r="C66" s="89" t="s">
        <v>49</v>
      </c>
      <c r="D66" s="63">
        <v>300.0</v>
      </c>
      <c r="E66" s="27"/>
      <c r="F66" s="90">
        <f t="shared" ref="F66:F71" si="10">MULTIPLY(D66,C66)</f>
        <v>9000</v>
      </c>
      <c r="G66" s="21"/>
      <c r="H66" s="22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2.75" customHeight="1">
      <c r="A67" s="82" t="s">
        <v>42</v>
      </c>
      <c r="B67" s="63">
        <v>1.0</v>
      </c>
      <c r="C67" s="89" t="s">
        <v>50</v>
      </c>
      <c r="D67" s="63">
        <v>250.0</v>
      </c>
      <c r="E67" s="27"/>
      <c r="F67" s="91">
        <f t="shared" si="10"/>
        <v>5000</v>
      </c>
      <c r="G67" s="21"/>
      <c r="H67" s="22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2.75" customHeight="1">
      <c r="A68" s="82" t="s">
        <v>51</v>
      </c>
      <c r="B68" s="63">
        <v>1.0</v>
      </c>
      <c r="C68" s="89" t="s">
        <v>50</v>
      </c>
      <c r="D68" s="63">
        <v>375.0</v>
      </c>
      <c r="E68" s="27"/>
      <c r="F68" s="21">
        <f t="shared" si="10"/>
        <v>7500</v>
      </c>
      <c r="G68" s="43"/>
      <c r="H68" s="22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2.75" customHeight="1">
      <c r="A69" s="84" t="s">
        <v>44</v>
      </c>
      <c r="B69" s="63">
        <v>1.0</v>
      </c>
      <c r="C69" s="89" t="s">
        <v>50</v>
      </c>
      <c r="D69" s="63">
        <v>150.0</v>
      </c>
      <c r="E69" s="27"/>
      <c r="F69" s="21">
        <f t="shared" si="10"/>
        <v>3000</v>
      </c>
      <c r="G69" s="21"/>
      <c r="H69" s="22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2.75" customHeight="1">
      <c r="A70" s="82" t="s">
        <v>45</v>
      </c>
      <c r="B70" s="63">
        <v>1.0</v>
      </c>
      <c r="C70" s="92">
        <v>20.0</v>
      </c>
      <c r="D70" s="63">
        <v>125.0</v>
      </c>
      <c r="E70" s="80"/>
      <c r="F70" s="93">
        <f t="shared" si="10"/>
        <v>2500</v>
      </c>
      <c r="G70" s="21"/>
      <c r="H70" s="22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2.75" customHeight="1">
      <c r="A71" s="84" t="s">
        <v>46</v>
      </c>
      <c r="B71" s="63">
        <v>1.0</v>
      </c>
      <c r="C71" s="94">
        <v>20.0</v>
      </c>
      <c r="D71" s="95">
        <v>300.0</v>
      </c>
      <c r="E71" s="80"/>
      <c r="F71" s="96">
        <f t="shared" si="10"/>
        <v>6000</v>
      </c>
      <c r="G71" s="96"/>
      <c r="H71" s="22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2.75" customHeight="1">
      <c r="A72" s="97" t="s">
        <v>52</v>
      </c>
      <c r="B72" s="81"/>
      <c r="C72" s="98"/>
      <c r="D72" s="98"/>
      <c r="E72" s="64"/>
      <c r="F72" s="99">
        <f>SUM(F66,F67,F68,F69,F70,F71)</f>
        <v>33000</v>
      </c>
      <c r="G72" s="96"/>
      <c r="H72" s="22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2.75" customHeight="1">
      <c r="A73" s="100"/>
      <c r="B73" s="74"/>
      <c r="C73" s="101"/>
      <c r="D73" s="101"/>
      <c r="E73" s="64"/>
      <c r="F73" s="96"/>
      <c r="G73" s="96"/>
      <c r="H73" s="22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2.75" customHeight="1">
      <c r="A74" s="75" t="s">
        <v>53</v>
      </c>
      <c r="B74" s="76"/>
      <c r="C74" s="76"/>
      <c r="D74" s="76"/>
      <c r="E74" s="27"/>
      <c r="F74" s="71"/>
      <c r="G74" s="102"/>
      <c r="H74" s="103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2.75" customHeight="1">
      <c r="A75" s="78" t="s">
        <v>38</v>
      </c>
      <c r="B75" s="79" t="s">
        <v>39</v>
      </c>
      <c r="C75" s="79" t="s">
        <v>40</v>
      </c>
      <c r="D75" s="79" t="s">
        <v>41</v>
      </c>
      <c r="E75" s="27"/>
      <c r="F75" s="71"/>
      <c r="G75" s="76"/>
      <c r="H75" s="76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2.75" customHeight="1">
      <c r="A76" s="82" t="s">
        <v>24</v>
      </c>
      <c r="B76" s="63">
        <v>1.0</v>
      </c>
      <c r="C76" s="89" t="s">
        <v>49</v>
      </c>
      <c r="D76" s="63">
        <v>300.0</v>
      </c>
      <c r="E76" s="27"/>
      <c r="F76" s="90">
        <f t="shared" ref="F76:F81" si="11">MULTIPLY(D76,C76)</f>
        <v>9000</v>
      </c>
      <c r="G76" s="76"/>
      <c r="H76" s="76"/>
      <c r="I76" s="4"/>
      <c r="J76" s="4"/>
      <c r="K76" s="4"/>
      <c r="L76" s="4"/>
      <c r="M76" s="10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2.75" customHeight="1">
      <c r="A77" s="82" t="s">
        <v>42</v>
      </c>
      <c r="B77" s="63">
        <v>1.0</v>
      </c>
      <c r="C77" s="89" t="s">
        <v>50</v>
      </c>
      <c r="D77" s="63">
        <v>300.0</v>
      </c>
      <c r="E77" s="27"/>
      <c r="F77" s="91">
        <f t="shared" si="11"/>
        <v>6000</v>
      </c>
      <c r="G77" s="76"/>
      <c r="H77" s="76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2.75" customHeight="1">
      <c r="A78" s="82" t="s">
        <v>51</v>
      </c>
      <c r="B78" s="63">
        <v>1.0</v>
      </c>
      <c r="C78" s="89" t="s">
        <v>50</v>
      </c>
      <c r="D78" s="63">
        <v>200.0</v>
      </c>
      <c r="E78" s="27"/>
      <c r="F78" s="21">
        <f t="shared" si="11"/>
        <v>4000</v>
      </c>
      <c r="G78" s="76"/>
      <c r="H78" s="76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2.75" customHeight="1">
      <c r="A79" s="84" t="s">
        <v>44</v>
      </c>
      <c r="B79" s="63">
        <v>1.0</v>
      </c>
      <c r="C79" s="89" t="s">
        <v>50</v>
      </c>
      <c r="D79" s="63">
        <v>250.0</v>
      </c>
      <c r="E79" s="27"/>
      <c r="F79" s="21">
        <f t="shared" si="11"/>
        <v>5000</v>
      </c>
      <c r="G79" s="76"/>
      <c r="H79" s="76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2.75" customHeight="1">
      <c r="A80" s="82" t="s">
        <v>45</v>
      </c>
      <c r="B80" s="63">
        <v>1.0</v>
      </c>
      <c r="C80" s="92">
        <v>20.0</v>
      </c>
      <c r="D80" s="63">
        <v>150.0</v>
      </c>
      <c r="E80" s="80"/>
      <c r="F80" s="93">
        <f t="shared" si="11"/>
        <v>3000</v>
      </c>
      <c r="G80" s="76"/>
      <c r="H80" s="76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2.75" customHeight="1">
      <c r="A81" s="84" t="s">
        <v>46</v>
      </c>
      <c r="B81" s="63">
        <v>1.0</v>
      </c>
      <c r="C81" s="94">
        <v>20.0</v>
      </c>
      <c r="D81" s="95">
        <v>300.0</v>
      </c>
      <c r="E81" s="80"/>
      <c r="F81" s="96">
        <f t="shared" si="11"/>
        <v>6000</v>
      </c>
      <c r="G81" s="76"/>
      <c r="H81" s="76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2.75" customHeight="1">
      <c r="A82" s="97" t="s">
        <v>54</v>
      </c>
      <c r="B82" s="81"/>
      <c r="C82" s="98"/>
      <c r="D82" s="98"/>
      <c r="E82" s="64"/>
      <c r="F82" s="99">
        <f>SUM(F76,F77,F78,F79,F80,F81)</f>
        <v>33000</v>
      </c>
      <c r="G82" s="76"/>
      <c r="H82" s="76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2.75" customHeight="1">
      <c r="A83" s="76"/>
      <c r="B83" s="76"/>
      <c r="C83" s="76"/>
      <c r="D83" s="76"/>
      <c r="E83" s="76"/>
      <c r="F83" s="76"/>
      <c r="G83" s="76"/>
      <c r="H83" s="76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2.75" customHeight="1">
      <c r="A84" s="76"/>
      <c r="B84" s="76"/>
      <c r="C84" s="76"/>
      <c r="D84" s="76"/>
      <c r="E84" s="76"/>
      <c r="F84" s="76"/>
      <c r="G84" s="76"/>
      <c r="H84" s="76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2.75" customHeight="1">
      <c r="A85" s="105" t="s">
        <v>55</v>
      </c>
      <c r="B85" s="79" t="s">
        <v>56</v>
      </c>
      <c r="C85" s="79" t="s">
        <v>57</v>
      </c>
      <c r="D85" s="79" t="s">
        <v>58</v>
      </c>
      <c r="E85" s="106" t="s">
        <v>59</v>
      </c>
      <c r="F85" s="79" t="s">
        <v>60</v>
      </c>
      <c r="G85" s="79" t="s">
        <v>61</v>
      </c>
      <c r="H85" s="76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2.75" customHeight="1">
      <c r="A86" s="105">
        <v>1.0</v>
      </c>
      <c r="B86" s="63">
        <v>20.0</v>
      </c>
      <c r="C86" s="83">
        <v>7500.0</v>
      </c>
      <c r="D86" s="83">
        <v>150000.0</v>
      </c>
      <c r="E86" s="83">
        <v>15000.0</v>
      </c>
      <c r="F86" s="83">
        <v>4500.0</v>
      </c>
      <c r="G86" s="83">
        <v>130500.0</v>
      </c>
      <c r="H86" s="76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2.75" customHeight="1">
      <c r="A87" s="105">
        <v>2.0</v>
      </c>
      <c r="B87" s="63">
        <v>25.0</v>
      </c>
      <c r="C87" s="83">
        <v>7500.0</v>
      </c>
      <c r="D87" s="83">
        <v>187500.0</v>
      </c>
      <c r="E87" s="83">
        <v>18750.0</v>
      </c>
      <c r="F87" s="83">
        <v>5625.0</v>
      </c>
      <c r="G87" s="83">
        <v>163125.0</v>
      </c>
      <c r="H87" s="76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2.75" customHeight="1">
      <c r="A88" s="105">
        <v>3.0</v>
      </c>
      <c r="B88" s="63">
        <v>30.0</v>
      </c>
      <c r="C88" s="83">
        <v>7500.0</v>
      </c>
      <c r="D88" s="83">
        <v>225000.0</v>
      </c>
      <c r="E88" s="83">
        <v>22500.0</v>
      </c>
      <c r="F88" s="83">
        <v>6750.0</v>
      </c>
      <c r="G88" s="83">
        <v>195750.0</v>
      </c>
      <c r="H88" s="76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2.75" customHeight="1">
      <c r="A89" s="76"/>
      <c r="B89" s="76"/>
      <c r="C89" s="76"/>
      <c r="D89" s="76"/>
      <c r="E89" s="76"/>
      <c r="F89" s="76"/>
      <c r="G89" s="76"/>
      <c r="H89" s="76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2.75" customHeight="1">
      <c r="A90" s="76"/>
      <c r="B90" s="76"/>
      <c r="C90" s="76"/>
      <c r="D90" s="76"/>
      <c r="E90" s="76"/>
      <c r="F90" s="76"/>
      <c r="G90" s="76"/>
      <c r="H90" s="76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2.75" customHeight="1">
      <c r="A91" s="76"/>
      <c r="B91" s="76"/>
      <c r="C91" s="76"/>
      <c r="D91" s="76"/>
      <c r="E91" s="76"/>
      <c r="F91" s="76"/>
      <c r="G91" s="76"/>
      <c r="H91" s="76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2.75" customHeight="1">
      <c r="A92" s="76"/>
      <c r="B92" s="76"/>
      <c r="C92" s="76"/>
      <c r="D92" s="76"/>
      <c r="E92" s="76"/>
      <c r="F92" s="76"/>
      <c r="G92" s="76"/>
      <c r="H92" s="76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2.75" customHeight="1">
      <c r="A93" s="107"/>
      <c r="B93" s="108"/>
      <c r="C93" s="109"/>
      <c r="D93" s="110"/>
      <c r="E93" s="110"/>
      <c r="F93" s="110"/>
      <c r="G93" s="110"/>
      <c r="H93" s="111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2.75" customHeight="1">
      <c r="A94" s="112"/>
      <c r="B94" s="113"/>
      <c r="C94" s="114"/>
      <c r="D94" s="114"/>
      <c r="E94" s="115"/>
      <c r="F94" s="110"/>
      <c r="G94" s="110"/>
      <c r="H94" s="111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2.75" customHeight="1">
      <c r="A95" s="112"/>
      <c r="B95" s="116"/>
      <c r="C95" s="117"/>
      <c r="D95" s="117"/>
      <c r="E95" s="117"/>
      <c r="F95" s="118"/>
      <c r="G95" s="118"/>
      <c r="H95" s="111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2.75" customHeight="1">
      <c r="A96" s="112"/>
      <c r="B96" s="116"/>
      <c r="C96" s="117"/>
      <c r="D96" s="117"/>
      <c r="E96" s="117"/>
      <c r="F96" s="118"/>
      <c r="G96" s="118"/>
      <c r="H96" s="111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2.75" customHeight="1">
      <c r="A97" s="112"/>
      <c r="B97" s="116"/>
      <c r="C97" s="117"/>
      <c r="D97" s="117"/>
      <c r="E97" s="117"/>
      <c r="F97" s="118"/>
      <c r="G97" s="118"/>
      <c r="H97" s="111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2.75" customHeight="1">
      <c r="A98" s="119"/>
      <c r="B98" s="120"/>
      <c r="C98" s="121"/>
      <c r="D98" s="122"/>
      <c r="E98" s="122"/>
      <c r="F98" s="123"/>
      <c r="G98" s="123"/>
      <c r="H98" s="12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2.75" customHeight="1">
      <c r="A99" s="76"/>
      <c r="B99" s="76"/>
      <c r="C99" s="76"/>
      <c r="D99" s="76"/>
      <c r="E99" s="76"/>
      <c r="F99" s="76"/>
      <c r="G99" s="76"/>
      <c r="H99" s="76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2.75" customHeight="1">
      <c r="A100" s="76"/>
      <c r="B100" s="76"/>
      <c r="C100" s="76"/>
      <c r="D100" s="76"/>
      <c r="E100" s="76"/>
      <c r="F100" s="76"/>
      <c r="G100" s="76"/>
      <c r="H100" s="76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2.75" customHeight="1">
      <c r="A101" s="76"/>
      <c r="B101" s="76"/>
      <c r="C101" s="76"/>
      <c r="D101" s="76"/>
      <c r="E101" s="76"/>
      <c r="F101" s="76"/>
      <c r="G101" s="76"/>
      <c r="H101" s="76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2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2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2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2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2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2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2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2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2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2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2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2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2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2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2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2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2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2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2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2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2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2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2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2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2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2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2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2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2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2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2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2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2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2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2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2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2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2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2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2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2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2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2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2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2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2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2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2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2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2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2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2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2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2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2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2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2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2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2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2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2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2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2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2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2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2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2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2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2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2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2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2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2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2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2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2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2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2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2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2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2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2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2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2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2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2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2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2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2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2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2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2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2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2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2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2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2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2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2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2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2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2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2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2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2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2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2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2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2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2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2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2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2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2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2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2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2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2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2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2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2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2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2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2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2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2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2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2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2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2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2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2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2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2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2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2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2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2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2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2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2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2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2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2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2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2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2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2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2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2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2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2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2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2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2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2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2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2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2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2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2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2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2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2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2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2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2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2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2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2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2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2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2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</sheetData>
  <customSheetViews>
    <customSheetView guid="{820251E8-4577-4AA4-A4DA-88A17B84D821}" filter="1" showAutoFilter="1">
      <autoFilter ref="$F$25:$F$31"/>
      <extLst>
        <ext uri="GoogleSheetsCustomDataVersion1">
          <go:sheetsCustomData xmlns:go="http://customooxmlschemas.google.com/" filterViewId="1954341902"/>
        </ext>
      </extLst>
    </customSheetView>
  </customSheetViews>
  <mergeCells count="3">
    <mergeCell ref="A1:H1"/>
    <mergeCell ref="A3:H3"/>
    <mergeCell ref="D21:F21"/>
  </mergeCells>
  <printOptions/>
  <pageMargins bottom="1.0" footer="0.0" header="0.0" left="0.75" right="0.75" top="1.0"/>
  <pageSetup orientation="portrait"/>
  <headerFooter>
    <oddFooter>&amp;C000000&amp;P</oddFoot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2023-12-16T18:26:42Z</dcterms:created>
</cp:coreProperties>
</file>